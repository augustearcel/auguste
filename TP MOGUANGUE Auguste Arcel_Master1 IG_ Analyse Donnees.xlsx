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50056592\Desktop\A1_RAPPORT_MSSD_Auguste\"/>
    </mc:Choice>
  </mc:AlternateContent>
  <xr:revisionPtr revIDLastSave="0" documentId="8_{F1C1244F-0A55-4C94-A754-EA681FF354A1}" xr6:coauthVersionLast="36" xr6:coauthVersionMax="36" xr10:uidLastSave="{00000000-0000-0000-0000-000000000000}"/>
  <bookViews>
    <workbookView xWindow="-120" yWindow="-120" windowWidth="20730" windowHeight="11760" xr2:uid="{281EA207-E3DD-430C-9B26-BCB098450AD4}"/>
  </bookViews>
  <sheets>
    <sheet name="vente annuelle des produits " sheetId="1" r:id="rId1"/>
  </sheets>
  <definedNames>
    <definedName name="_xlnm._FilterDatabase" localSheetId="0" hidden="1">'vente annuelle des produits '!$A$4:$I$6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" l="1"/>
  <c r="C7" i="1"/>
  <c r="D7" i="1"/>
  <c r="E7" i="1"/>
  <c r="F7" i="1"/>
  <c r="H7" i="1"/>
  <c r="B7" i="1"/>
  <c r="I4" i="1"/>
  <c r="J6" i="1"/>
  <c r="I5" i="1"/>
  <c r="J4" i="1" l="1"/>
  <c r="J5" i="1"/>
  <c r="I7" i="1"/>
  <c r="J7" i="1" s="1"/>
</calcChain>
</file>

<file path=xl/sharedStrings.xml><?xml version="1.0" encoding="utf-8"?>
<sst xmlns="http://schemas.openxmlformats.org/spreadsheetml/2006/main" count="14" uniqueCount="14">
  <si>
    <t>janvier</t>
  </si>
  <si>
    <t>février</t>
  </si>
  <si>
    <t xml:space="preserve">mars </t>
  </si>
  <si>
    <t>Avril</t>
  </si>
  <si>
    <t>mai</t>
  </si>
  <si>
    <t>juin</t>
  </si>
  <si>
    <t>Fanta</t>
  </si>
  <si>
    <t>Nestlé</t>
  </si>
  <si>
    <t>Palmo</t>
  </si>
  <si>
    <t>Total</t>
  </si>
  <si>
    <t>Vente annuelle des produits</t>
  </si>
  <si>
    <t>juillet</t>
  </si>
  <si>
    <t>août</t>
  </si>
  <si>
    <t>septembre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</si>
</sst>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Arial Black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/>
    <xf numFmtId="0" fontId="1" fillId="0" borderId="0" xfId="0" applyFont="1"/>
    <xf numFmtId="0" fontId="0" fillId="0" borderId="1" xfId="0" applyBorder="1" applyAlignment="1">
      <alignment horizontal="left" vertical="center" textRotation="180" shrinkToFit="1"/>
    </xf>
    <xf numFmtId="0" fontId="0" fillId="2" borderId="2" xfId="0" applyFill="1" applyBorder="1" applyAlignment="1">
      <alignment horizontal="left" vertical="center" textRotation="45" shrinkToFit="1"/>
    </xf>
    <xf numFmtId="0" fontId="0" fillId="2" borderId="0" xfId="0" applyFill="1" applyAlignment="1">
      <alignment horizontal="left" vertical="center" textRotation="180" shrinkToFit="1"/>
    </xf>
    <xf numFmtId="0" fontId="4" fillId="3" borderId="2" xfId="0" applyFont="1" applyFill="1" applyBorder="1"/>
    <xf numFmtId="0" fontId="3" fillId="3" borderId="2" xfId="0" applyFont="1" applyFill="1" applyBorder="1"/>
    <xf numFmtId="0" fontId="3" fillId="4" borderId="0" xfId="0" applyFont="1" applyFill="1" applyBorder="1"/>
    <xf numFmtId="0" fontId="4" fillId="4" borderId="0" xfId="0" applyFont="1" applyFill="1" applyBorder="1"/>
    <xf numFmtId="0" fontId="0" fillId="4" borderId="0" xfId="0" applyFill="1" applyBorder="1"/>
    <xf numFmtId="0" fontId="5" fillId="2" borderId="2" xfId="0" applyFont="1" applyFill="1" applyBorder="1" applyAlignment="1">
      <alignment horizontal="left" vertical="center" textRotation="45" shrinkToFit="1"/>
    </xf>
    <xf numFmtId="0" fontId="3" fillId="5" borderId="3" xfId="0" applyFont="1" applyFill="1" applyBorder="1"/>
    <xf numFmtId="0" fontId="3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vente annuelle des produits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'vente annuelle des produits '!$A$4</c:f>
              <c:strCache>
                <c:ptCount val="1"/>
                <c:pt idx="0">
                  <c:v>Nestlé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'vente annuelle des produits '!$B$3:$K$3</c:f>
              <c:strCache>
                <c:ptCount val="9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</c:strCache>
            </c:strRef>
          </c:cat>
          <c:val>
            <c:numRef>
              <c:f>'vente annuelle des produits '!$B$4:$K$4</c:f>
              <c:numCache>
                <c:formatCode>General</c:formatCode>
                <c:ptCount val="10"/>
                <c:pt idx="0">
                  <c:v>11100</c:v>
                </c:pt>
                <c:pt idx="1">
                  <c:v>22000</c:v>
                </c:pt>
                <c:pt idx="2">
                  <c:v>50</c:v>
                </c:pt>
                <c:pt idx="3">
                  <c:v>62356</c:v>
                </c:pt>
                <c:pt idx="4">
                  <c:v>233623</c:v>
                </c:pt>
                <c:pt idx="5">
                  <c:v>335656</c:v>
                </c:pt>
                <c:pt idx="6">
                  <c:v>3236</c:v>
                </c:pt>
                <c:pt idx="7">
                  <c:v>668021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22-4E10-A32D-412FA52ECB4B}"/>
            </c:ext>
          </c:extLst>
        </c:ser>
        <c:ser>
          <c:idx val="1"/>
          <c:order val="1"/>
          <c:tx>
            <c:strRef>
              <c:f>'vente annuelle des produits '!$A$5</c:f>
              <c:strCache>
                <c:ptCount val="1"/>
                <c:pt idx="0">
                  <c:v>Fanta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'vente annuelle des produits '!$B$3:$K$3</c:f>
              <c:strCache>
                <c:ptCount val="9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</c:strCache>
            </c:strRef>
          </c:cat>
          <c:val>
            <c:numRef>
              <c:f>'vente annuelle des produits '!$B$5:$K$5</c:f>
              <c:numCache>
                <c:formatCode>General</c:formatCode>
                <c:ptCount val="10"/>
                <c:pt idx="0">
                  <c:v>10000</c:v>
                </c:pt>
                <c:pt idx="1">
                  <c:v>150000</c:v>
                </c:pt>
                <c:pt idx="2">
                  <c:v>600000</c:v>
                </c:pt>
                <c:pt idx="3">
                  <c:v>200000</c:v>
                </c:pt>
                <c:pt idx="4">
                  <c:v>0</c:v>
                </c:pt>
                <c:pt idx="5">
                  <c:v>152000</c:v>
                </c:pt>
                <c:pt idx="6">
                  <c:v>20000</c:v>
                </c:pt>
                <c:pt idx="7">
                  <c:v>1132000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22-4E10-A32D-412FA52ECB4B}"/>
            </c:ext>
          </c:extLst>
        </c:ser>
        <c:ser>
          <c:idx val="2"/>
          <c:order val="2"/>
          <c:tx>
            <c:strRef>
              <c:f>'vente annuelle des produits '!$A$6</c:f>
              <c:strCache>
                <c:ptCount val="1"/>
                <c:pt idx="0">
                  <c:v>Palmo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Ref>
              <c:f>'vente annuelle des produits '!$B$3:$K$3</c:f>
              <c:strCache>
                <c:ptCount val="9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</c:strCache>
            </c:strRef>
          </c:cat>
          <c:val>
            <c:numRef>
              <c:f>'vente annuelle des produits '!$B$6:$K$6</c:f>
              <c:numCache>
                <c:formatCode>General</c:formatCode>
                <c:ptCount val="10"/>
                <c:pt idx="0">
                  <c:v>-200000</c:v>
                </c:pt>
                <c:pt idx="1">
                  <c:v>2222</c:v>
                </c:pt>
                <c:pt idx="2">
                  <c:v>-70000</c:v>
                </c:pt>
                <c:pt idx="3">
                  <c:v>60000</c:v>
                </c:pt>
                <c:pt idx="4">
                  <c:v>3000000</c:v>
                </c:pt>
                <c:pt idx="5">
                  <c:v>50000</c:v>
                </c:pt>
                <c:pt idx="6">
                  <c:v>-800000</c:v>
                </c:pt>
                <c:pt idx="7">
                  <c:v>-300000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22-4E10-A32D-412FA52ECB4B}"/>
            </c:ext>
          </c:extLst>
        </c:ser>
        <c:ser>
          <c:idx val="3"/>
          <c:order val="3"/>
          <c:tx>
            <c:strRef>
              <c:f>'vente annuelle des produits '!$A$7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cat>
            <c:strRef>
              <c:f>'vente annuelle des produits '!$B$3:$K$3</c:f>
              <c:strCache>
                <c:ptCount val="9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</c:strCache>
            </c:strRef>
          </c:cat>
          <c:val>
            <c:numRef>
              <c:f>'vente annuelle des produits '!$B$7:$K$7</c:f>
              <c:numCache>
                <c:formatCode>General</c:formatCode>
                <c:ptCount val="10"/>
                <c:pt idx="0">
                  <c:v>-178900</c:v>
                </c:pt>
                <c:pt idx="1">
                  <c:v>174222</c:v>
                </c:pt>
                <c:pt idx="2">
                  <c:v>530050</c:v>
                </c:pt>
                <c:pt idx="3">
                  <c:v>322356</c:v>
                </c:pt>
                <c:pt idx="4">
                  <c:v>3233623</c:v>
                </c:pt>
                <c:pt idx="5">
                  <c:v>537656</c:v>
                </c:pt>
                <c:pt idx="6">
                  <c:v>-776764</c:v>
                </c:pt>
                <c:pt idx="7">
                  <c:v>1500021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22-4E10-A32D-412FA52EC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2085425055"/>
        <c:axId val="2079839215"/>
      </c:barChart>
      <c:catAx>
        <c:axId val="208542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839215"/>
        <c:crosses val="autoZero"/>
        <c:auto val="1"/>
        <c:lblAlgn val="ctr"/>
        <c:lblOffset val="100"/>
        <c:noMultiLvlLbl val="0"/>
      </c:catAx>
      <c:valAx>
        <c:axId val="2079839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425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VENTE ANNUELLE DES PRODUITS </a:t>
            </a:r>
          </a:p>
        </c:rich>
      </c:tx>
      <c:layout>
        <c:manualLayout>
          <c:xMode val="edge"/>
          <c:yMode val="edge"/>
          <c:x val="0.12915640260339475"/>
          <c:y val="3.50814798445503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'vente annuelle des produits '!$A$4</c:f>
              <c:strCache>
                <c:ptCount val="1"/>
                <c:pt idx="0">
                  <c:v>Nestlé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'vente annuelle des produits '!$B$3:$K$3</c:f>
              <c:strCache>
                <c:ptCount val="9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</c:strCache>
            </c:strRef>
          </c:cat>
          <c:val>
            <c:numRef>
              <c:f>'vente annuelle des produits '!$B$4:$K$4</c:f>
              <c:numCache>
                <c:formatCode>General</c:formatCode>
                <c:ptCount val="10"/>
                <c:pt idx="0">
                  <c:v>11100</c:v>
                </c:pt>
                <c:pt idx="1">
                  <c:v>22000</c:v>
                </c:pt>
                <c:pt idx="2">
                  <c:v>50</c:v>
                </c:pt>
                <c:pt idx="3">
                  <c:v>62356</c:v>
                </c:pt>
                <c:pt idx="4">
                  <c:v>233623</c:v>
                </c:pt>
                <c:pt idx="5">
                  <c:v>335656</c:v>
                </c:pt>
                <c:pt idx="6">
                  <c:v>3236</c:v>
                </c:pt>
                <c:pt idx="7">
                  <c:v>668021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A0-40B5-AC82-7E50BE6FA5DE}"/>
            </c:ext>
          </c:extLst>
        </c:ser>
        <c:ser>
          <c:idx val="1"/>
          <c:order val="1"/>
          <c:tx>
            <c:strRef>
              <c:f>'vente annuelle des produits '!$A$5</c:f>
              <c:strCache>
                <c:ptCount val="1"/>
                <c:pt idx="0">
                  <c:v>Fanta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'vente annuelle des produits '!$B$3:$K$3</c:f>
              <c:strCache>
                <c:ptCount val="9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</c:strCache>
            </c:strRef>
          </c:cat>
          <c:val>
            <c:numRef>
              <c:f>'vente annuelle des produits '!$B$5:$K$5</c:f>
              <c:numCache>
                <c:formatCode>General</c:formatCode>
                <c:ptCount val="10"/>
                <c:pt idx="0">
                  <c:v>10000</c:v>
                </c:pt>
                <c:pt idx="1">
                  <c:v>150000</c:v>
                </c:pt>
                <c:pt idx="2">
                  <c:v>600000</c:v>
                </c:pt>
                <c:pt idx="3">
                  <c:v>200000</c:v>
                </c:pt>
                <c:pt idx="4">
                  <c:v>0</c:v>
                </c:pt>
                <c:pt idx="5">
                  <c:v>152000</c:v>
                </c:pt>
                <c:pt idx="6">
                  <c:v>20000</c:v>
                </c:pt>
                <c:pt idx="7">
                  <c:v>1132000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A0-40B5-AC82-7E50BE6FA5DE}"/>
            </c:ext>
          </c:extLst>
        </c:ser>
        <c:ser>
          <c:idx val="2"/>
          <c:order val="2"/>
          <c:tx>
            <c:strRef>
              <c:f>'vente annuelle des produits '!$A$6</c:f>
              <c:strCache>
                <c:ptCount val="1"/>
                <c:pt idx="0">
                  <c:v>Palmo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'vente annuelle des produits '!$B$3:$K$3</c:f>
              <c:strCache>
                <c:ptCount val="9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</c:strCache>
            </c:strRef>
          </c:cat>
          <c:val>
            <c:numRef>
              <c:f>'vente annuelle des produits '!$B$6:$K$6</c:f>
              <c:numCache>
                <c:formatCode>General</c:formatCode>
                <c:ptCount val="10"/>
                <c:pt idx="0">
                  <c:v>-200000</c:v>
                </c:pt>
                <c:pt idx="1">
                  <c:v>2222</c:v>
                </c:pt>
                <c:pt idx="2">
                  <c:v>-70000</c:v>
                </c:pt>
                <c:pt idx="3">
                  <c:v>60000</c:v>
                </c:pt>
                <c:pt idx="4">
                  <c:v>3000000</c:v>
                </c:pt>
                <c:pt idx="5">
                  <c:v>50000</c:v>
                </c:pt>
                <c:pt idx="6">
                  <c:v>-800000</c:v>
                </c:pt>
                <c:pt idx="7">
                  <c:v>-300000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A0-40B5-AC82-7E50BE6FA5DE}"/>
            </c:ext>
          </c:extLst>
        </c:ser>
        <c:ser>
          <c:idx val="3"/>
          <c:order val="3"/>
          <c:tx>
            <c:strRef>
              <c:f>'vente annuelle des produits '!$A$7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'vente annuelle des produits '!$B$3:$K$3</c:f>
              <c:strCache>
                <c:ptCount val="9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</c:strCache>
            </c:strRef>
          </c:cat>
          <c:val>
            <c:numRef>
              <c:f>'vente annuelle des produits '!$B$7:$K$7</c:f>
              <c:numCache>
                <c:formatCode>General</c:formatCode>
                <c:ptCount val="10"/>
                <c:pt idx="0">
                  <c:v>-178900</c:v>
                </c:pt>
                <c:pt idx="1">
                  <c:v>174222</c:v>
                </c:pt>
                <c:pt idx="2">
                  <c:v>530050</c:v>
                </c:pt>
                <c:pt idx="3">
                  <c:v>322356</c:v>
                </c:pt>
                <c:pt idx="4">
                  <c:v>3233623</c:v>
                </c:pt>
                <c:pt idx="5">
                  <c:v>537656</c:v>
                </c:pt>
                <c:pt idx="6">
                  <c:v>-776764</c:v>
                </c:pt>
                <c:pt idx="7">
                  <c:v>1500021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A0-40B5-AC82-7E50BE6FA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7419855"/>
        <c:axId val="394904335"/>
      </c:lineChart>
      <c:catAx>
        <c:axId val="79741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904335"/>
        <c:crosses val="autoZero"/>
        <c:auto val="1"/>
        <c:lblAlgn val="ctr"/>
        <c:lblOffset val="100"/>
        <c:noMultiLvlLbl val="0"/>
      </c:catAx>
      <c:valAx>
        <c:axId val="39490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41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75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chemeClr val="bg1"/>
                </a:solidFill>
              </a:rPr>
              <a:t>VENTE</a:t>
            </a:r>
            <a:r>
              <a:rPr lang="fr-FR" baseline="0">
                <a:solidFill>
                  <a:schemeClr val="bg1"/>
                </a:solidFill>
              </a:rPr>
              <a:t> ANNUELLE DES PRODUITS </a:t>
            </a:r>
            <a:endParaRPr lang="fr-FR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626667188742109"/>
          <c:y val="0.23807859839819898"/>
          <c:w val="0.43492192999150414"/>
          <c:h val="0.65967408062179855"/>
        </c:manualLayout>
      </c:layout>
      <c:doughnutChart>
        <c:varyColors val="1"/>
        <c:ser>
          <c:idx val="0"/>
          <c:order val="0"/>
          <c:tx>
            <c:strRef>
              <c:f>'vente annuelle des produits '!$B$3</c:f>
              <c:strCache>
                <c:ptCount val="1"/>
                <c:pt idx="0">
                  <c:v>janvier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E9D-434A-82A6-DD6CB65275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E9D-434A-82A6-DD6CB65275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E9D-434A-82A6-DD6CB65275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E9D-434A-82A6-DD6CB652757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'vente annuelle des produits '!$A$4:$A$7</c:f>
              <c:strCache>
                <c:ptCount val="4"/>
                <c:pt idx="0">
                  <c:v>Nestlé</c:v>
                </c:pt>
                <c:pt idx="1">
                  <c:v>Fanta</c:v>
                </c:pt>
                <c:pt idx="2">
                  <c:v>Palmo</c:v>
                </c:pt>
                <c:pt idx="3">
                  <c:v>Total</c:v>
                </c:pt>
              </c:strCache>
            </c:strRef>
          </c:cat>
          <c:val>
            <c:numRef>
              <c:f>'vente annuelle des produits '!$B$4:$B$7</c:f>
              <c:numCache>
                <c:formatCode>General</c:formatCode>
                <c:ptCount val="4"/>
                <c:pt idx="0">
                  <c:v>11100</c:v>
                </c:pt>
                <c:pt idx="1">
                  <c:v>10000</c:v>
                </c:pt>
                <c:pt idx="2">
                  <c:v>-200000</c:v>
                </c:pt>
                <c:pt idx="3">
                  <c:v>-178900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21-470C-8ACE-6D292174D39F}"/>
            </c:ext>
          </c:extLst>
        </c:ser>
        <c:ser>
          <c:idx val="1"/>
          <c:order val="1"/>
          <c:tx>
            <c:strRef>
              <c:f>'vente annuelle des produits '!$C$3</c:f>
              <c:strCache>
                <c:ptCount val="1"/>
                <c:pt idx="0">
                  <c:v>février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E9D-434A-82A6-DD6CB65275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E9D-434A-82A6-DD6CB65275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E9D-434A-82A6-DD6CB65275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E9D-434A-82A6-DD6CB652757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'vente annuelle des produits '!$A$4:$A$7</c:f>
              <c:strCache>
                <c:ptCount val="4"/>
                <c:pt idx="0">
                  <c:v>Nestlé</c:v>
                </c:pt>
                <c:pt idx="1">
                  <c:v>Fanta</c:v>
                </c:pt>
                <c:pt idx="2">
                  <c:v>Palmo</c:v>
                </c:pt>
                <c:pt idx="3">
                  <c:v>Total</c:v>
                </c:pt>
              </c:strCache>
            </c:strRef>
          </c:cat>
          <c:val>
            <c:numRef>
              <c:f>'vente annuelle des produits '!$C$4:$C$7</c:f>
              <c:numCache>
                <c:formatCode>General</c:formatCode>
                <c:ptCount val="4"/>
                <c:pt idx="0">
                  <c:v>22000</c:v>
                </c:pt>
                <c:pt idx="1">
                  <c:v>150000</c:v>
                </c:pt>
                <c:pt idx="2">
                  <c:v>2222</c:v>
                </c:pt>
                <c:pt idx="3">
                  <c:v>174222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21-470C-8ACE-6D292174D39F}"/>
            </c:ext>
          </c:extLst>
        </c:ser>
        <c:ser>
          <c:idx val="2"/>
          <c:order val="2"/>
          <c:tx>
            <c:strRef>
              <c:f>'vente annuelle des produits '!$D$3</c:f>
              <c:strCache>
                <c:ptCount val="1"/>
                <c:pt idx="0">
                  <c:v>mars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E9D-434A-82A6-DD6CB65275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E9D-434A-82A6-DD6CB65275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E9D-434A-82A6-DD6CB65275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E9D-434A-82A6-DD6CB652757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'vente annuelle des produits '!$A$4:$A$7</c:f>
              <c:strCache>
                <c:ptCount val="4"/>
                <c:pt idx="0">
                  <c:v>Nestlé</c:v>
                </c:pt>
                <c:pt idx="1">
                  <c:v>Fanta</c:v>
                </c:pt>
                <c:pt idx="2">
                  <c:v>Palmo</c:v>
                </c:pt>
                <c:pt idx="3">
                  <c:v>Total</c:v>
                </c:pt>
              </c:strCache>
            </c:strRef>
          </c:cat>
          <c:val>
            <c:numRef>
              <c:f>'vente annuelle des produits '!$D$4:$D$7</c:f>
              <c:numCache>
                <c:formatCode>General</c:formatCode>
                <c:ptCount val="4"/>
                <c:pt idx="0">
                  <c:v>50</c:v>
                </c:pt>
                <c:pt idx="1">
                  <c:v>600000</c:v>
                </c:pt>
                <c:pt idx="2">
                  <c:v>-70000</c:v>
                </c:pt>
                <c:pt idx="3">
                  <c:v>530050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21-470C-8ACE-6D292174D39F}"/>
            </c:ext>
          </c:extLst>
        </c:ser>
        <c:ser>
          <c:idx val="3"/>
          <c:order val="3"/>
          <c:tx>
            <c:strRef>
              <c:f>'vente annuelle des produits '!$E$3</c:f>
              <c:strCache>
                <c:ptCount val="1"/>
                <c:pt idx="0">
                  <c:v>Avril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E9D-434A-82A6-DD6CB65275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E9D-434A-82A6-DD6CB65275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E9D-434A-82A6-DD6CB65275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E9D-434A-82A6-DD6CB652757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'vente annuelle des produits '!$A$4:$A$7</c:f>
              <c:strCache>
                <c:ptCount val="4"/>
                <c:pt idx="0">
                  <c:v>Nestlé</c:v>
                </c:pt>
                <c:pt idx="1">
                  <c:v>Fanta</c:v>
                </c:pt>
                <c:pt idx="2">
                  <c:v>Palmo</c:v>
                </c:pt>
                <c:pt idx="3">
                  <c:v>Total</c:v>
                </c:pt>
              </c:strCache>
            </c:strRef>
          </c:cat>
          <c:val>
            <c:numRef>
              <c:f>'vente annuelle des produits '!$E$4:$E$7</c:f>
              <c:numCache>
                <c:formatCode>General</c:formatCode>
                <c:ptCount val="4"/>
                <c:pt idx="0">
                  <c:v>62356</c:v>
                </c:pt>
                <c:pt idx="1">
                  <c:v>200000</c:v>
                </c:pt>
                <c:pt idx="2">
                  <c:v>60000</c:v>
                </c:pt>
                <c:pt idx="3">
                  <c:v>322356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21-470C-8ACE-6D292174D39F}"/>
            </c:ext>
          </c:extLst>
        </c:ser>
        <c:ser>
          <c:idx val="4"/>
          <c:order val="4"/>
          <c:tx>
            <c:strRef>
              <c:f>'vente annuelle des produits '!$F$3</c:f>
              <c:strCache>
                <c:ptCount val="1"/>
                <c:pt idx="0">
                  <c:v>mai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BE9D-434A-82A6-DD6CB65275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BE9D-434A-82A6-DD6CB65275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BE9D-434A-82A6-DD6CB65275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BE9D-434A-82A6-DD6CB652757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'vente annuelle des produits '!$A$4:$A$7</c:f>
              <c:strCache>
                <c:ptCount val="4"/>
                <c:pt idx="0">
                  <c:v>Nestlé</c:v>
                </c:pt>
                <c:pt idx="1">
                  <c:v>Fanta</c:v>
                </c:pt>
                <c:pt idx="2">
                  <c:v>Palmo</c:v>
                </c:pt>
                <c:pt idx="3">
                  <c:v>Total</c:v>
                </c:pt>
              </c:strCache>
            </c:strRef>
          </c:cat>
          <c:val>
            <c:numRef>
              <c:f>'vente annuelle des produits '!$F$4:$F$7</c:f>
              <c:numCache>
                <c:formatCode>General</c:formatCode>
                <c:ptCount val="4"/>
                <c:pt idx="0">
                  <c:v>233623</c:v>
                </c:pt>
                <c:pt idx="1">
                  <c:v>0</c:v>
                </c:pt>
                <c:pt idx="2">
                  <c:v>3000000</c:v>
                </c:pt>
                <c:pt idx="3">
                  <c:v>3233623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21-470C-8ACE-6D292174D39F}"/>
            </c:ext>
          </c:extLst>
        </c:ser>
        <c:ser>
          <c:idx val="5"/>
          <c:order val="5"/>
          <c:tx>
            <c:strRef>
              <c:f>'vente annuelle des produits '!$G$3</c:f>
              <c:strCache>
                <c:ptCount val="1"/>
                <c:pt idx="0">
                  <c:v>juin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BE9D-434A-82A6-DD6CB65275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BE9D-434A-82A6-DD6CB65275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BE9D-434A-82A6-DD6CB65275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BE9D-434A-82A6-DD6CB652757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'vente annuelle des produits '!$A$4:$A$7</c:f>
              <c:strCache>
                <c:ptCount val="4"/>
                <c:pt idx="0">
                  <c:v>Nestlé</c:v>
                </c:pt>
                <c:pt idx="1">
                  <c:v>Fanta</c:v>
                </c:pt>
                <c:pt idx="2">
                  <c:v>Palmo</c:v>
                </c:pt>
                <c:pt idx="3">
                  <c:v>Total</c:v>
                </c:pt>
              </c:strCache>
            </c:strRef>
          </c:cat>
          <c:val>
            <c:numRef>
              <c:f>'vente annuelle des produits '!$G$4:$G$7</c:f>
              <c:numCache>
                <c:formatCode>General</c:formatCode>
                <c:ptCount val="4"/>
                <c:pt idx="0">
                  <c:v>335656</c:v>
                </c:pt>
                <c:pt idx="1">
                  <c:v>152000</c:v>
                </c:pt>
                <c:pt idx="2">
                  <c:v>50000</c:v>
                </c:pt>
                <c:pt idx="3">
                  <c:v>537656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421-470C-8ACE-6D292174D39F}"/>
            </c:ext>
          </c:extLst>
        </c:ser>
        <c:ser>
          <c:idx val="6"/>
          <c:order val="6"/>
          <c:tx>
            <c:strRef>
              <c:f>'vente annuelle des produits '!$H$3</c:f>
              <c:strCache>
                <c:ptCount val="1"/>
                <c:pt idx="0">
                  <c:v>juillet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BE9D-434A-82A6-DD6CB65275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BE9D-434A-82A6-DD6CB65275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BE9D-434A-82A6-DD6CB65275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BE9D-434A-82A6-DD6CB652757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'vente annuelle des produits '!$A$4:$A$7</c:f>
              <c:strCache>
                <c:ptCount val="4"/>
                <c:pt idx="0">
                  <c:v>Nestlé</c:v>
                </c:pt>
                <c:pt idx="1">
                  <c:v>Fanta</c:v>
                </c:pt>
                <c:pt idx="2">
                  <c:v>Palmo</c:v>
                </c:pt>
                <c:pt idx="3">
                  <c:v>Total</c:v>
                </c:pt>
              </c:strCache>
            </c:strRef>
          </c:cat>
          <c:val>
            <c:numRef>
              <c:f>'vente annuelle des produits '!$H$4:$H$7</c:f>
              <c:numCache>
                <c:formatCode>General</c:formatCode>
                <c:ptCount val="4"/>
                <c:pt idx="0">
                  <c:v>3236</c:v>
                </c:pt>
                <c:pt idx="1">
                  <c:v>20000</c:v>
                </c:pt>
                <c:pt idx="2">
                  <c:v>-800000</c:v>
                </c:pt>
                <c:pt idx="3">
                  <c:v>-776764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21-470C-8ACE-6D292174D39F}"/>
            </c:ext>
          </c:extLst>
        </c:ser>
        <c:ser>
          <c:idx val="7"/>
          <c:order val="7"/>
          <c:tx>
            <c:strRef>
              <c:f>'vente annuelle des produits '!$I$3</c:f>
              <c:strCache>
                <c:ptCount val="1"/>
                <c:pt idx="0">
                  <c:v>août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BE9D-434A-82A6-DD6CB65275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BE9D-434A-82A6-DD6CB65275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BE9D-434A-82A6-DD6CB65275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BE9D-434A-82A6-DD6CB652757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'vente annuelle des produits '!$A$4:$A$7</c:f>
              <c:strCache>
                <c:ptCount val="4"/>
                <c:pt idx="0">
                  <c:v>Nestlé</c:v>
                </c:pt>
                <c:pt idx="1">
                  <c:v>Fanta</c:v>
                </c:pt>
                <c:pt idx="2">
                  <c:v>Palmo</c:v>
                </c:pt>
                <c:pt idx="3">
                  <c:v>Total</c:v>
                </c:pt>
              </c:strCache>
            </c:strRef>
          </c:cat>
          <c:val>
            <c:numRef>
              <c:f>'vente annuelle des produits '!$I$4:$I$7</c:f>
              <c:numCache>
                <c:formatCode>General</c:formatCode>
                <c:ptCount val="4"/>
                <c:pt idx="0">
                  <c:v>668021</c:v>
                </c:pt>
                <c:pt idx="1">
                  <c:v>1132000</c:v>
                </c:pt>
                <c:pt idx="2">
                  <c:v>-300000</c:v>
                </c:pt>
                <c:pt idx="3">
                  <c:v>1500021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421-470C-8ACE-6D292174D39F}"/>
            </c:ext>
          </c:extLst>
        </c:ser>
        <c:ser>
          <c:idx val="8"/>
          <c:order val="8"/>
          <c:tx>
            <c:strRef>
              <c:f>'vente annuelle des produits '!$J$3</c:f>
              <c:strCache>
                <c:ptCount val="1"/>
                <c:pt idx="0">
                  <c:v>septembre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BE9D-434A-82A6-DD6CB65275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BE9D-434A-82A6-DD6CB65275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BE9D-434A-82A6-DD6CB65275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BE9D-434A-82A6-DD6CB652757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'vente annuelle des produits '!$A$4:$A$7</c:f>
              <c:strCache>
                <c:ptCount val="4"/>
                <c:pt idx="0">
                  <c:v>Nestlé</c:v>
                </c:pt>
                <c:pt idx="1">
                  <c:v>Fanta</c:v>
                </c:pt>
                <c:pt idx="2">
                  <c:v>Palmo</c:v>
                </c:pt>
                <c:pt idx="3">
                  <c:v>Total</c:v>
                </c:pt>
              </c:strCache>
            </c:strRef>
          </c:cat>
          <c:val>
            <c:numRef>
              <c:f>'vente annuelle des produits '!$J$4:$J$7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421-470C-8ACE-6D292174D39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accent2">
            <a:lumMod val="75000"/>
            <a:shade val="30000"/>
            <a:satMod val="115000"/>
          </a:schemeClr>
        </a:gs>
        <a:gs pos="50000">
          <a:schemeClr val="accent2">
            <a:lumMod val="75000"/>
            <a:shade val="67500"/>
            <a:satMod val="115000"/>
          </a:schemeClr>
        </a:gs>
        <a:gs pos="100000">
          <a:schemeClr val="accent2">
            <a:lumMod val="75000"/>
            <a:shade val="100000"/>
            <a:satMod val="115000"/>
          </a:schemeClr>
        </a:gs>
      </a:gsLst>
      <a:path path="circle">
        <a:fillToRect l="100000" b="100000"/>
      </a:path>
      <a:tileRect t="-100000" r="-100000"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11430</xdr:rowOff>
    </xdr:from>
    <xdr:to>
      <xdr:col>4</xdr:col>
      <xdr:colOff>448641</xdr:colOff>
      <xdr:row>24</xdr:row>
      <xdr:rowOff>11430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1A1B70-8AB8-ABE6-E398-13A50E6F31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43848</xdr:colOff>
      <xdr:row>9</xdr:row>
      <xdr:rowOff>986</xdr:rowOff>
    </xdr:from>
    <xdr:to>
      <xdr:col>10</xdr:col>
      <xdr:colOff>540694</xdr:colOff>
      <xdr:row>24</xdr:row>
      <xdr:rowOff>986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A1B800F-6A15-7265-9BF2-C0B5BE68E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352011</xdr:colOff>
      <xdr:row>26</xdr:row>
      <xdr:rowOff>89728</xdr:rowOff>
    </xdr:from>
    <xdr:to>
      <xdr:col>10</xdr:col>
      <xdr:colOff>241576</xdr:colOff>
      <xdr:row>44</xdr:row>
      <xdr:rowOff>165652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4CF0E38D-83D4-3BEE-7F0A-E5A55E0849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9E7C3-6796-4CFC-AFD6-1B1BD2BB3CA1}">
  <dimension ref="A1:K8"/>
  <sheetViews>
    <sheetView tabSelected="1" zoomScale="55" workbookViewId="0">
      <selection activeCell="N34" sqref="N34"/>
    </sheetView>
  </sheetViews>
  <sheetFormatPr defaultColWidth="10.90625" defaultRowHeight="14.5" x14ac:dyDescent="0.35"/>
  <cols>
    <col min="1" max="1" width="8.26953125" customWidth="1"/>
    <col min="2" max="11" width="8" customWidth="1"/>
  </cols>
  <sheetData>
    <row r="1" spans="1:11" ht="22" x14ac:dyDescent="0.65">
      <c r="D1" s="2" t="s">
        <v>10</v>
      </c>
    </row>
    <row r="3" spans="1:11" ht="51" x14ac:dyDescent="0.35">
      <c r="A3" s="3"/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11</v>
      </c>
      <c r="I3" s="4" t="s">
        <v>12</v>
      </c>
      <c r="J3" s="11" t="s">
        <v>13</v>
      </c>
      <c r="K3" s="5"/>
    </row>
    <row r="4" spans="1:11" x14ac:dyDescent="0.35">
      <c r="A4" s="12" t="s">
        <v>7</v>
      </c>
      <c r="B4" s="1">
        <v>11100</v>
      </c>
      <c r="C4" s="1">
        <v>22000</v>
      </c>
      <c r="D4" s="1">
        <v>50</v>
      </c>
      <c r="E4" s="1">
        <v>62356</v>
      </c>
      <c r="F4" s="1">
        <v>233623</v>
      </c>
      <c r="G4" s="1">
        <v>335656</v>
      </c>
      <c r="H4" s="1">
        <v>3236</v>
      </c>
      <c r="I4" s="1">
        <f>SUM(B4+C4+D4+E4+F4+G4+H4)</f>
        <v>668021</v>
      </c>
      <c r="J4" s="1" t="str">
        <f>IF(I4&gt;0,"gain","perte")</f>
        <v>gain</v>
      </c>
    </row>
    <row r="5" spans="1:11" x14ac:dyDescent="0.35">
      <c r="A5" s="13" t="s">
        <v>6</v>
      </c>
      <c r="B5" s="1">
        <v>10000</v>
      </c>
      <c r="C5" s="1">
        <v>150000</v>
      </c>
      <c r="D5" s="1">
        <v>600000</v>
      </c>
      <c r="E5" s="1">
        <v>200000</v>
      </c>
      <c r="F5" s="1">
        <v>0</v>
      </c>
      <c r="G5" s="1">
        <v>152000</v>
      </c>
      <c r="H5" s="1">
        <v>20000</v>
      </c>
      <c r="I5" s="1">
        <f>SUM(B5+C5+D5+E5+F5+G5+H5)</f>
        <v>1132000</v>
      </c>
      <c r="J5" s="1" t="str">
        <f>IF(I5&gt;0,"gain","perte")</f>
        <v>gain</v>
      </c>
    </row>
    <row r="6" spans="1:11" x14ac:dyDescent="0.35">
      <c r="A6" s="13" t="s">
        <v>8</v>
      </c>
      <c r="B6" s="1">
        <v>-200000</v>
      </c>
      <c r="C6" s="1">
        <v>2222</v>
      </c>
      <c r="D6" s="1">
        <v>-70000</v>
      </c>
      <c r="E6" s="1">
        <v>60000</v>
      </c>
      <c r="F6" s="1">
        <v>3000000</v>
      </c>
      <c r="G6" s="1">
        <v>50000</v>
      </c>
      <c r="H6" s="1">
        <v>-800000</v>
      </c>
      <c r="I6" s="1">
        <v>-300000</v>
      </c>
      <c r="J6" s="1" t="str">
        <f>IF(I6&gt;0,"gain","perte")</f>
        <v>perte</v>
      </c>
    </row>
    <row r="7" spans="1:11" x14ac:dyDescent="0.35">
      <c r="A7" s="7" t="s">
        <v>9</v>
      </c>
      <c r="B7" s="6">
        <f t="shared" ref="B7:I7" si="0">SUM(B4+B5+B6)</f>
        <v>-178900</v>
      </c>
      <c r="C7" s="6">
        <f t="shared" si="0"/>
        <v>174222</v>
      </c>
      <c r="D7" s="6">
        <f t="shared" si="0"/>
        <v>530050</v>
      </c>
      <c r="E7" s="6">
        <f t="shared" si="0"/>
        <v>322356</v>
      </c>
      <c r="F7" s="6">
        <f t="shared" si="0"/>
        <v>3233623</v>
      </c>
      <c r="G7" s="6">
        <f t="shared" si="0"/>
        <v>537656</v>
      </c>
      <c r="H7" s="6">
        <f t="shared" si="0"/>
        <v>-776764</v>
      </c>
      <c r="I7" s="6">
        <f t="shared" si="0"/>
        <v>1500021</v>
      </c>
      <c r="J7" s="1" t="str">
        <f>IF(I7&gt;0,"gain","perte")</f>
        <v>gain</v>
      </c>
    </row>
    <row r="8" spans="1:11" x14ac:dyDescent="0.35">
      <c r="A8" s="8"/>
      <c r="B8" s="9"/>
      <c r="C8" s="9"/>
      <c r="D8" s="9"/>
      <c r="E8" s="9"/>
      <c r="F8" s="9"/>
      <c r="G8" s="9"/>
      <c r="H8" s="9"/>
      <c r="I8" s="9"/>
      <c r="J8" s="10"/>
    </row>
  </sheetData>
  <sortState caseSensitive="1" ref="A4:I6">
    <sortCondition descending="1" ref="I4:I6"/>
  </sortState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vente annuelle des produits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Moguangue Auguste Arcel</cp:lastModifiedBy>
  <cp:lastPrinted>2026-06-20T15:18:30Z</cp:lastPrinted>
  <dcterms:created xsi:type="dcterms:W3CDTF">2026-05-22T17:21:21Z</dcterms:created>
  <dcterms:modified xsi:type="dcterms:W3CDTF">2026-06-20T15:24:00Z</dcterms:modified>
</cp:coreProperties>
</file>